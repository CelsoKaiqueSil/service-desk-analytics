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ickets" sheetId="2" state="visible" r:id="rId2"/>
    <sheet name="Categorias" sheetId="3" state="visible" r:id="rId3"/>
    <sheet name="Responsáveis" sheetId="4" state="visible" r:id="rId4"/>
    <sheet name="Metodologia" sheetId="5" state="visible" r:id="rId5"/>
    <sheet name="Qualidade" sheetId="6" state="visible" r:id="rId6"/>
  </sheets>
  <definedNames>
    <definedName name="_xlnm._FilterDatabase" localSheetId="0" hidden="1">'Dashboard'!$A$1:$B$12</definedName>
    <definedName name="_xlnm.Print_Area" localSheetId="0">'Dashboard'!$A$1:$N$34</definedName>
    <definedName name="_xlnm._FilterDatabase" localSheetId="1" hidden="1">'Tickets'!$A$1:$M$9</definedName>
    <definedName name="_xlnm._FilterDatabase" localSheetId="2" hidden="1">'Categorias'!$A$1:$E$5</definedName>
    <definedName name="_xlnm._FilterDatabase" localSheetId="3" hidden="1">'Responsáveis'!$A$1:$E$4</definedName>
    <definedName name="_xlnm._FilterDatabase" localSheetId="4" hidden="1">'Metodologia'!$A$1:$B$8</definedName>
    <definedName name="_xlnm._FilterDatabase" localSheetId="5" hidden="1">'Qualidade'!$A$1:$K$11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7E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Chamados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'Categorias'!B1</f>
            </strRef>
          </tx>
          <spPr>
            <a:ln>
              <a:prstDash val="solid"/>
            </a:ln>
          </spPr>
          <cat>
            <numRef>
              <f>'Categorias'!$A$2:$A$5</f>
            </numRef>
          </cat>
          <val>
            <numRef>
              <f>'Categorias'!$B$2:$B$5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P90 de solucao por responsavel (h)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'Responsáveis'!E1</f>
            </strRef>
          </tx>
          <spPr>
            <a:ln>
              <a:prstDash val="solid"/>
            </a:ln>
          </spPr>
          <cat>
            <numRef>
              <f>'Responsáveis'!$A$2:$A$4</f>
            </numRef>
          </cat>
          <val>
            <numRef>
              <f>'Responsáveis'!$E$2:$E$4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indicator</t>
        </is>
      </c>
      <c r="B1" s="1" t="inlineStr">
        <is>
          <t>value</t>
        </is>
      </c>
    </row>
    <row r="2">
      <c r="A2" t="inlineStr">
        <is>
          <t>opened</t>
        </is>
      </c>
      <c r="B2" t="n">
        <v>8</v>
      </c>
    </row>
    <row r="3">
      <c r="A3" t="inlineStr">
        <is>
          <t>resolved</t>
        </is>
      </c>
      <c r="B3" t="n">
        <v>6</v>
      </c>
    </row>
    <row r="4">
      <c r="A4" t="inlineStr">
        <is>
          <t>closed</t>
        </is>
      </c>
      <c r="B4" t="n">
        <v>4</v>
      </c>
    </row>
    <row r="5">
      <c r="A5" t="inlineStr">
        <is>
          <t>backlog</t>
        </is>
      </c>
      <c r="B5" t="n">
        <v>2</v>
      </c>
    </row>
    <row r="6">
      <c r="A6" t="inlineStr">
        <is>
          <t>sla_met_percent</t>
        </is>
      </c>
      <c r="B6" t="n">
        <v>66.66666666666666</v>
      </c>
    </row>
    <row r="7">
      <c r="A7" t="inlineStr">
        <is>
          <t>response_mean_hours</t>
        </is>
      </c>
      <c r="B7" t="n">
        <v>1.40625</v>
      </c>
    </row>
    <row r="8">
      <c r="A8" t="inlineStr">
        <is>
          <t>response_median_hours</t>
        </is>
      </c>
      <c r="B8" t="n">
        <v>0.75</v>
      </c>
    </row>
    <row r="9">
      <c r="A9" t="inlineStr">
        <is>
          <t>response_p90_hours</t>
        </is>
      </c>
      <c r="B9" t="n">
        <v>3.3</v>
      </c>
    </row>
    <row r="10">
      <c r="A10" t="inlineStr">
        <is>
          <t>solution_mean_hours</t>
        </is>
      </c>
      <c r="B10" t="n">
        <v>11.47222222222222</v>
      </c>
    </row>
    <row r="11">
      <c r="A11" t="inlineStr">
        <is>
          <t>solution_median_hours</t>
        </is>
      </c>
      <c r="B11" t="n">
        <v>4.5</v>
      </c>
    </row>
    <row r="12">
      <c r="A12" t="inlineStr">
        <is>
          <t>solution_p90_hours</t>
        </is>
      </c>
      <c r="B12" t="n">
        <v>28.16666666666666</v>
      </c>
    </row>
  </sheetData>
  <autoFilter ref="A1:B12"/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7" customWidth="1" min="12" max="12"/>
    <col width="16" customWidth="1" min="13" max="13"/>
  </cols>
  <sheetData>
    <row r="1">
      <c r="A1" s="1" t="inlineStr">
        <is>
          <t>ticket_id</t>
        </is>
      </c>
      <c r="B1" s="1" t="inlineStr">
        <is>
          <t>opened_at</t>
        </is>
      </c>
      <c r="C1" s="1" t="inlineStr">
        <is>
          <t>first_response_at</t>
        </is>
      </c>
      <c r="D1" s="1" t="inlineStr">
        <is>
          <t>resolved_at</t>
        </is>
      </c>
      <c r="E1" s="1" t="inlineStr">
        <is>
          <t>closed_at</t>
        </is>
      </c>
      <c r="F1" s="1" t="inlineStr">
        <is>
          <t>sla_due_at</t>
        </is>
      </c>
      <c r="G1" s="1" t="inlineStr">
        <is>
          <t>category</t>
        </is>
      </c>
      <c r="H1" s="1" t="inlineStr">
        <is>
          <t>urgency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response_hours</t>
        </is>
      </c>
      <c r="L1" s="1" t="inlineStr">
        <is>
          <t>solution_hours</t>
        </is>
      </c>
      <c r="M1" s="1" t="inlineStr">
        <is>
          <t>sla_met</t>
        </is>
      </c>
    </row>
    <row r="2">
      <c r="A2" t="inlineStr">
        <is>
          <t>SD-0001</t>
        </is>
      </c>
      <c r="B2" s="2" t="n">
        <v>46204.33333333334</v>
      </c>
      <c r="C2" s="2" t="n">
        <v>46204.35416666666</v>
      </c>
      <c r="D2" s="2" t="n">
        <v>46204.45833333334</v>
      </c>
      <c r="E2" s="2" t="n">
        <v>46204.5</v>
      </c>
      <c r="F2" s="2" t="n">
        <v>46204.66666666666</v>
      </c>
      <c r="G2" t="inlineStr">
        <is>
          <t>Conectividade</t>
        </is>
      </c>
      <c r="H2" t="inlineStr">
        <is>
          <t>Alta</t>
        </is>
      </c>
      <c r="I2" t="inlineStr">
        <is>
          <t>Ana</t>
        </is>
      </c>
      <c r="J2" t="inlineStr">
        <is>
          <t>Fechado</t>
        </is>
      </c>
      <c r="K2" t="n">
        <v>0.5</v>
      </c>
      <c r="L2" t="n">
        <v>3</v>
      </c>
      <c r="M2" t="b">
        <v>1</v>
      </c>
    </row>
    <row r="3">
      <c r="A3" t="inlineStr">
        <is>
          <t>SD-0002</t>
        </is>
      </c>
      <c r="B3" s="2" t="n">
        <v>46204.375</v>
      </c>
      <c r="C3" s="2" t="n">
        <v>46204.41666666666</v>
      </c>
      <c r="D3" s="2" t="n">
        <v>46205.5</v>
      </c>
      <c r="E3" s="2" t="n">
        <v>46205.54166666666</v>
      </c>
      <c r="F3" s="2" t="n">
        <v>46204.70833333334</v>
      </c>
      <c r="G3" t="inlineStr">
        <is>
          <t>Acesso</t>
        </is>
      </c>
      <c r="H3" t="inlineStr">
        <is>
          <t>Média</t>
        </is>
      </c>
      <c r="I3" t="inlineStr">
        <is>
          <t>Bruno</t>
        </is>
      </c>
      <c r="J3" t="inlineStr">
        <is>
          <t>Fechado</t>
        </is>
      </c>
      <c r="K3" t="n">
        <v>1</v>
      </c>
      <c r="L3" t="n">
        <v>27</v>
      </c>
      <c r="M3" t="b">
        <v>0</v>
      </c>
    </row>
    <row r="4">
      <c r="A4" t="inlineStr">
        <is>
          <t>SD-0003</t>
        </is>
      </c>
      <c r="B4" s="2" t="n">
        <v>46205.3125</v>
      </c>
      <c r="C4" s="2" t="n">
        <v>46205.32291666666</v>
      </c>
      <c r="D4" s="2" t="n">
        <v>46205.39583333334</v>
      </c>
      <c r="E4" t="inlineStr"/>
      <c r="F4" s="2" t="n">
        <v>46205.64583333334</v>
      </c>
      <c r="G4" t="inlineStr">
        <is>
          <t>Monitoramento</t>
        </is>
      </c>
      <c r="H4" t="inlineStr">
        <is>
          <t>Alta</t>
        </is>
      </c>
      <c r="I4" t="inlineStr">
        <is>
          <t>Ana</t>
        </is>
      </c>
      <c r="J4" t="inlineStr">
        <is>
          <t>Resolvido</t>
        </is>
      </c>
      <c r="K4" t="n">
        <v>0.25</v>
      </c>
      <c r="L4" t="n">
        <v>2</v>
      </c>
      <c r="M4" t="b">
        <v>1</v>
      </c>
    </row>
    <row r="5">
      <c r="A5" t="inlineStr">
        <is>
          <t>SD-0004</t>
        </is>
      </c>
      <c r="B5" s="2" t="n">
        <v>46205.41666666666</v>
      </c>
      <c r="C5" s="2" t="n">
        <v>46205.54166666666</v>
      </c>
      <c r="D5" t="inlineStr"/>
      <c r="E5" t="inlineStr"/>
      <c r="F5" s="2" t="n">
        <v>46205.75</v>
      </c>
      <c r="G5" t="inlineStr">
        <is>
          <t>Aplicação</t>
        </is>
      </c>
      <c r="H5" t="inlineStr">
        <is>
          <t>Baixa</t>
        </is>
      </c>
      <c r="I5" t="inlineStr">
        <is>
          <t>Caio</t>
        </is>
      </c>
      <c r="J5" t="inlineStr">
        <is>
          <t>Em andamento</t>
        </is>
      </c>
      <c r="K5" t="n">
        <v>3</v>
      </c>
      <c r="L5" t="inlineStr"/>
      <c r="M5" t="inlineStr"/>
    </row>
    <row r="6">
      <c r="A6" t="inlineStr">
        <is>
          <t>SD-0005</t>
        </is>
      </c>
      <c r="B6" s="2" t="n">
        <v>46206.33333333334</v>
      </c>
      <c r="C6" s="2" t="n">
        <v>46206.34722222222</v>
      </c>
      <c r="D6" s="2" t="n">
        <v>46206.58333333334</v>
      </c>
      <c r="E6" s="2" t="n">
        <v>46206.625</v>
      </c>
      <c r="F6" s="2" t="n">
        <v>46206.66666666666</v>
      </c>
      <c r="G6" t="inlineStr">
        <is>
          <t>Conectividade</t>
        </is>
      </c>
      <c r="H6" t="inlineStr">
        <is>
          <t>Alta</t>
        </is>
      </c>
      <c r="I6" t="inlineStr">
        <is>
          <t>Bruno</t>
        </is>
      </c>
      <c r="J6" t="inlineStr">
        <is>
          <t>Fechado</t>
        </is>
      </c>
      <c r="K6" t="n">
        <v>0.3333333333333333</v>
      </c>
      <c r="L6" t="n">
        <v>6</v>
      </c>
      <c r="M6" t="b">
        <v>1</v>
      </c>
    </row>
    <row r="7">
      <c r="A7" t="inlineStr">
        <is>
          <t>SD-0006</t>
        </is>
      </c>
      <c r="B7" s="2" t="n">
        <v>46206.38541666666</v>
      </c>
      <c r="C7" s="2" t="n">
        <v>46206.46875</v>
      </c>
      <c r="D7" t="inlineStr"/>
      <c r="E7" t="inlineStr"/>
      <c r="F7" s="2" t="n">
        <v>46206.71875</v>
      </c>
      <c r="G7" t="inlineStr">
        <is>
          <t>Acesso</t>
        </is>
      </c>
      <c r="H7" t="inlineStr">
        <is>
          <t>Média</t>
        </is>
      </c>
      <c r="I7" t="inlineStr">
        <is>
          <t>Caio</t>
        </is>
      </c>
      <c r="J7" t="inlineStr">
        <is>
          <t>Aberto</t>
        </is>
      </c>
      <c r="K7" t="n">
        <v>2</v>
      </c>
      <c r="L7" t="inlineStr"/>
      <c r="M7" t="inlineStr"/>
    </row>
    <row r="8">
      <c r="A8" t="inlineStr">
        <is>
          <t>SD-0007</t>
        </is>
      </c>
      <c r="B8" s="2" t="n">
        <v>46207.45833333334</v>
      </c>
      <c r="C8" s="2" t="n">
        <v>46207.46527777778</v>
      </c>
      <c r="D8" s="2" t="n">
        <v>46207.52083333334</v>
      </c>
      <c r="E8" s="2" t="n">
        <v>46207.54166666666</v>
      </c>
      <c r="F8" s="2" t="n">
        <v>46207.79166666666</v>
      </c>
      <c r="G8" t="inlineStr">
        <is>
          <t>Monitoramento</t>
        </is>
      </c>
      <c r="H8" t="inlineStr">
        <is>
          <t>Média</t>
        </is>
      </c>
      <c r="I8" t="inlineStr">
        <is>
          <t>Ana</t>
        </is>
      </c>
      <c r="J8" t="inlineStr">
        <is>
          <t>Fechado</t>
        </is>
      </c>
      <c r="K8" t="n">
        <v>0.1666666666666667</v>
      </c>
      <c r="L8" t="n">
        <v>1.5</v>
      </c>
      <c r="M8" t="b">
        <v>1</v>
      </c>
    </row>
    <row r="9">
      <c r="A9" t="inlineStr">
        <is>
          <t>SD-0008</t>
        </is>
      </c>
      <c r="B9" s="2" t="n">
        <v>46208.36111111111</v>
      </c>
      <c r="C9" s="2" t="n">
        <v>46208.52777777778</v>
      </c>
      <c r="D9" s="2" t="n">
        <v>46209.58333333334</v>
      </c>
      <c r="E9" t="inlineStr"/>
      <c r="F9" s="2" t="n">
        <v>46208.69444444445</v>
      </c>
      <c r="G9" t="inlineStr">
        <is>
          <t>Aplicação</t>
        </is>
      </c>
      <c r="H9" t="inlineStr">
        <is>
          <t>Alta</t>
        </is>
      </c>
      <c r="I9" t="inlineStr">
        <is>
          <t>Bruno</t>
        </is>
      </c>
      <c r="J9" t="inlineStr">
        <is>
          <t>Resolvido</t>
        </is>
      </c>
      <c r="K9" t="n">
        <v>4</v>
      </c>
      <c r="L9" t="n">
        <v>29.33333333333333</v>
      </c>
      <c r="M9" t="b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1" customWidth="1" min="5" max="5"/>
  </cols>
  <sheetData>
    <row r="1">
      <c r="A1" s="1" t="inlineStr">
        <is>
          <t>category</t>
        </is>
      </c>
      <c r="B1" s="1" t="inlineStr">
        <is>
          <t>tickets</t>
        </is>
      </c>
      <c r="C1" s="1" t="inlineStr">
        <is>
          <t>resolved</t>
        </is>
      </c>
      <c r="D1" s="1" t="inlineStr">
        <is>
          <t>response_median_hours</t>
        </is>
      </c>
      <c r="E1" s="1" t="inlineStr">
        <is>
          <t>solution_p90_hours</t>
        </is>
      </c>
    </row>
    <row r="2">
      <c r="A2" t="inlineStr">
        <is>
          <t>Acesso</t>
        </is>
      </c>
      <c r="B2" t="n">
        <v>2</v>
      </c>
      <c r="C2" t="n">
        <v>1</v>
      </c>
      <c r="D2" t="n">
        <v>1.5</v>
      </c>
      <c r="E2" t="n">
        <v>27</v>
      </c>
    </row>
    <row r="3">
      <c r="A3" t="inlineStr">
        <is>
          <t>Aplicação</t>
        </is>
      </c>
      <c r="B3" t="n">
        <v>2</v>
      </c>
      <c r="C3" t="n">
        <v>1</v>
      </c>
      <c r="D3" t="n">
        <v>3.5</v>
      </c>
      <c r="E3" t="n">
        <v>29.33333333333333</v>
      </c>
    </row>
    <row r="4">
      <c r="A4" t="inlineStr">
        <is>
          <t>Conectividade</t>
        </is>
      </c>
      <c r="B4" t="n">
        <v>2</v>
      </c>
      <c r="C4" t="n">
        <v>2</v>
      </c>
      <c r="D4" t="n">
        <v>0.4166666666666666</v>
      </c>
      <c r="E4" t="n">
        <v>5.7</v>
      </c>
    </row>
    <row r="5">
      <c r="A5" t="inlineStr">
        <is>
          <t>Monitoramento</t>
        </is>
      </c>
      <c r="B5" t="n">
        <v>2</v>
      </c>
      <c r="C5" t="n">
        <v>2</v>
      </c>
      <c r="D5" t="n">
        <v>0.2083333333333333</v>
      </c>
      <c r="E5" t="n">
        <v>1.95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1" customWidth="1" min="5" max="5"/>
  </cols>
  <sheetData>
    <row r="1">
      <c r="A1" s="1" t="inlineStr">
        <is>
          <t>owner</t>
        </is>
      </c>
      <c r="B1" s="1" t="inlineStr">
        <is>
          <t>tickets</t>
        </is>
      </c>
      <c r="C1" s="1" t="inlineStr">
        <is>
          <t>resolved</t>
        </is>
      </c>
      <c r="D1" s="1" t="inlineStr">
        <is>
          <t>response_median_hours</t>
        </is>
      </c>
      <c r="E1" s="1" t="inlineStr">
        <is>
          <t>solution_p90_hours</t>
        </is>
      </c>
    </row>
    <row r="2">
      <c r="A2" t="inlineStr">
        <is>
          <t>Ana</t>
        </is>
      </c>
      <c r="B2" t="n">
        <v>3</v>
      </c>
      <c r="C2" t="n">
        <v>3</v>
      </c>
      <c r="D2" t="n">
        <v>0.25</v>
      </c>
      <c r="E2" t="n">
        <v>2.8</v>
      </c>
    </row>
    <row r="3">
      <c r="A3" t="inlineStr">
        <is>
          <t>Bruno</t>
        </is>
      </c>
      <c r="B3" t="n">
        <v>3</v>
      </c>
      <c r="C3" t="n">
        <v>3</v>
      </c>
      <c r="D3" t="n">
        <v>1</v>
      </c>
      <c r="E3" t="n">
        <v>28.86666666666667</v>
      </c>
    </row>
    <row r="4">
      <c r="A4" t="inlineStr">
        <is>
          <t>Caio</t>
        </is>
      </c>
      <c r="B4" t="n">
        <v>2</v>
      </c>
      <c r="C4" t="n">
        <v>0</v>
      </c>
      <c r="D4" t="n">
        <v>2.5</v>
      </c>
      <c r="E4" t="inlineStr"/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indicator</t>
        </is>
      </c>
      <c r="B1" s="1" t="inlineStr">
        <is>
          <t>definition</t>
        </is>
      </c>
    </row>
    <row r="2">
      <c r="A2" t="inlineStr">
        <is>
          <t>backlog</t>
        </is>
      </c>
      <c r="B2" t="inlineStr">
        <is>
          <t>Estoque da coorte de abertura selecionada, nao o backlog global. Em recorte historico, usa datas conhecidas ate o fim do dia UTC; cancelados nao entram.</t>
        </is>
      </c>
    </row>
    <row r="3">
      <c r="A3" t="inlineStr">
        <is>
          <t>response_hours</t>
        </is>
      </c>
      <c r="B3" t="inlineStr">
        <is>
          <t>Primeira resposta menos abertura, em horas.</t>
        </is>
      </c>
    </row>
    <row r="4">
      <c r="A4" t="inlineStr">
        <is>
          <t>solution_hours</t>
        </is>
      </c>
      <c r="B4" t="inlineStr">
        <is>
          <t>Resolução menos abertura, em horas.</t>
        </is>
      </c>
    </row>
    <row r="5">
      <c r="A5" t="inlineStr">
        <is>
          <t>sla_met</t>
        </is>
      </c>
      <c r="B5" t="inlineStr">
        <is>
          <t>Resolvido até o prazo, somente quando ambas as datas existem.</t>
        </is>
      </c>
    </row>
    <row r="6">
      <c r="A6" t="inlineStr">
        <is>
          <t>p90</t>
        </is>
      </c>
      <c r="B6" t="inlineStr">
        <is>
          <t>Valor abaixo do qual ficam 90% dos tempos observados.</t>
        </is>
      </c>
    </row>
    <row r="7">
      <c r="A7" t="inlineStr">
        <is>
          <t>period</t>
        </is>
      </c>
      <c r="B7" t="inlineStr">
        <is>
          <t>Inicio e fim inclusivos por data de abertura, UTC. Eventos posteriores ao fim nao entram. Sem periodo, usa o snapshot completo de entrada.</t>
        </is>
      </c>
    </row>
    <row r="8">
      <c r="A8" t="inlineStr">
        <is>
          <t>deduplication</t>
        </is>
      </c>
      <c r="B8" t="inlineStr">
        <is>
          <t>Linhas identicas removidas; IDs conflitantes bloqueiam a geracao. Datas invalidas ou invertidas ficam em Qualidade.</t>
        </is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control</t>
        </is>
      </c>
      <c r="B1" s="1" t="inlineStr">
        <is>
          <t>value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t="inlineStr">
        <is>
          <t>input_rows</t>
        </is>
      </c>
      <c r="B2" t="n">
        <v>8</v>
      </c>
    </row>
    <row r="3">
      <c r="A3" t="inlineStr">
        <is>
          <t>rejected_rows</t>
        </is>
      </c>
      <c r="B3" t="n">
        <v>0</v>
      </c>
    </row>
    <row r="4">
      <c r="A4" t="inlineStr">
        <is>
          <t>duplicates_removed</t>
        </is>
      </c>
      <c r="B4" t="n">
        <v>0</v>
      </c>
    </row>
    <row r="5">
      <c r="A5" t="inlineStr">
        <is>
          <t>selected_rows</t>
        </is>
      </c>
      <c r="B5" t="n">
        <v>8</v>
      </c>
    </row>
    <row r="6">
      <c r="A6" t="inlineStr">
        <is>
          <t>start</t>
        </is>
      </c>
      <c r="B6" t="inlineStr">
        <is>
          <t>source minimum</t>
        </is>
      </c>
    </row>
    <row r="7">
      <c r="A7" t="inlineStr">
        <is>
          <t>end</t>
        </is>
      </c>
      <c r="B7" t="inlineStr">
        <is>
          <t>source snapshot</t>
        </is>
      </c>
    </row>
    <row r="8">
      <c r="A8" t="inlineStr">
        <is>
          <t>timezone</t>
        </is>
      </c>
      <c r="B8" t="inlineStr">
        <is>
          <t>UTC</t>
        </is>
      </c>
    </row>
    <row r="9"/>
    <row r="10"/>
    <row r="11">
      <c r="A11" t="inlineStr">
        <is>
          <t>ticket_id</t>
        </is>
      </c>
      <c r="B11" t="inlineStr">
        <is>
          <t>opened_at</t>
        </is>
      </c>
      <c r="C11" t="inlineStr">
        <is>
          <t>first_response_at</t>
        </is>
      </c>
      <c r="D11" t="inlineStr">
        <is>
          <t>resolved_at</t>
        </is>
      </c>
      <c r="E11" t="inlineStr">
        <is>
          <t>closed_at</t>
        </is>
      </c>
      <c r="F11" t="inlineStr">
        <is>
          <t>sla_due_at</t>
        </is>
      </c>
      <c r="G11" t="inlineStr">
        <is>
          <t>category</t>
        </is>
      </c>
      <c r="H11" t="inlineStr">
        <is>
          <t>urgency</t>
        </is>
      </c>
      <c r="I11" t="inlineStr">
        <is>
          <t>owner</t>
        </is>
      </c>
      <c r="J11" t="inlineStr">
        <is>
          <t>status</t>
        </is>
      </c>
      <c r="K11" t="inlineStr">
        <is>
          <t>rejection_reason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2026-10-23T20:01:54Z</dcterms:created>
  <dcterms:modified xsi:type="dcterms:W3CDTF">2026-10-23T20:01:54Z</dcterms:modified>
</cp:coreProperties>
</file>